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222"/>
  <workbookPr/>
  <mc:AlternateContent xmlns:mc="http://schemas.openxmlformats.org/markup-compatibility/2006">
    <mc:Choice Requires="x15">
      <x15ac:absPath xmlns:x15ac="http://schemas.microsoft.com/office/spreadsheetml/2010/11/ac" url="https://sp.rubius.com/Common Docs/Стандарты и шаблоны/Шаблоны документов/"/>
    </mc:Choice>
  </mc:AlternateContent>
  <xr:revisionPtr revIDLastSave="0" documentId="DD14464531945E26CCF830D2045F00713689F26F" xr6:coauthVersionLast="19" xr6:coauthVersionMax="19" xr10:uidLastSave="{00000000-0000-0000-0000-000000000000}"/>
  <bookViews>
    <workbookView xWindow="0" yWindow="0" windowWidth="28800" windowHeight="12435" xr2:uid="{00000000-000D-0000-FFFF-FFFF00000000}"/>
  </bookViews>
  <sheets>
    <sheet name="Оценка" sheetId="2" r:id="rId1"/>
    <sheet name="Sheet1" sheetId="1" state="hidden" r:id="rId2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K2" i="2"/>
  <c r="K6" i="2"/>
  <c r="J2" i="2"/>
  <c r="J6" i="2"/>
  <c r="F55" i="2"/>
  <c r="G55" i="2"/>
  <c r="E55" i="2"/>
  <c r="H2" i="2"/>
  <c r="H3" i="2"/>
  <c r="H4" i="2"/>
  <c r="I2" i="2"/>
  <c r="I3" i="2"/>
  <c r="I4" i="2"/>
  <c r="J3" i="2"/>
  <c r="J4" i="2"/>
  <c r="K3" i="2"/>
  <c r="K4" i="2"/>
</calcChain>
</file>

<file path=xl/sharedStrings.xml><?xml version="1.0" encoding="utf-8"?>
<sst xmlns="http://schemas.openxmlformats.org/spreadsheetml/2006/main" count="154" uniqueCount="137">
  <si>
    <t>Range start</t>
  </si>
  <si>
    <t>Range finish</t>
  </si>
  <si>
    <t>Человеко дни</t>
  </si>
  <si>
    <t>Человеко месяцы</t>
  </si>
  <si>
    <t>Оптимальная длительность проекта (месяцы)</t>
  </si>
  <si>
    <t>Стоимость нормочаса, руб.</t>
  </si>
  <si>
    <t>Стоимость проекта, руб.</t>
  </si>
  <si>
    <t>Требует уточнения</t>
  </si>
  <si>
    <t>пункт ТЗ</t>
  </si>
  <si>
    <t>#ПП</t>
  </si>
  <si>
    <t>Работы</t>
  </si>
  <si>
    <t>Оптимист</t>
  </si>
  <si>
    <t>Реалист</t>
  </si>
  <si>
    <t>Пессимист</t>
  </si>
  <si>
    <t>SD</t>
  </si>
  <si>
    <t>EAD</t>
  </si>
  <si>
    <t>1.</t>
  </si>
  <si>
    <t>Разработка ПО</t>
  </si>
  <si>
    <t>[Название фичи]</t>
  </si>
  <si>
    <t>1.1.</t>
  </si>
  <si>
    <t>[Название требования]</t>
  </si>
  <si>
    <t>1.1.1</t>
  </si>
  <si>
    <t>Разработка и отладка</t>
  </si>
  <si>
    <t>2.</t>
  </si>
  <si>
    <t>Тестирование</t>
  </si>
  <si>
    <t>2.1</t>
  </si>
  <si>
    <t>2.2</t>
  </si>
  <si>
    <t>Интеграционное тестирование</t>
  </si>
  <si>
    <t>2.3</t>
  </si>
  <si>
    <t>Нагрузочное тестирование</t>
  </si>
  <si>
    <t>2.4</t>
  </si>
  <si>
    <t>Регрессионное тестирование</t>
  </si>
  <si>
    <t>3.</t>
  </si>
  <si>
    <t>Разработка документации</t>
  </si>
  <si>
    <t>3.1</t>
  </si>
  <si>
    <t>Внутренняя документация (5% от разработки)</t>
  </si>
  <si>
    <t>3.2</t>
  </si>
  <si>
    <t>Руководство пользоввателя</t>
  </si>
  <si>
    <t>3.3</t>
  </si>
  <si>
    <t>Руководство администратора</t>
  </si>
  <si>
    <t>3.4</t>
  </si>
  <si>
    <t>Технический проект</t>
  </si>
  <si>
    <t>3.5</t>
  </si>
  <si>
    <t>Методика испытаний</t>
  </si>
  <si>
    <t>Регламент использования</t>
  </si>
  <si>
    <t>4.</t>
  </si>
  <si>
    <t>Обучение пользователей</t>
  </si>
  <si>
    <t>4.1</t>
  </si>
  <si>
    <t xml:space="preserve"> Обучение пользователей ПО (в зависимости от количества обучаемых, от 0,5 до 5 дней) </t>
  </si>
  <si>
    <t>4.2</t>
  </si>
  <si>
    <t xml:space="preserve"> Обучение администраторов ПО (0,5-1 день) </t>
  </si>
  <si>
    <t>5.</t>
  </si>
  <si>
    <t>Внедрение</t>
  </si>
  <si>
    <t>5.1</t>
  </si>
  <si>
    <t>Разработка инсталляционного пакета</t>
  </si>
  <si>
    <t>5.2</t>
  </si>
  <si>
    <t>Установка ПО у заказчика</t>
  </si>
  <si>
    <t>5.3</t>
  </si>
  <si>
    <t>Передача в опытную эксплуатацию (0,5-1,5 рабочих дня)</t>
  </si>
  <si>
    <t>5.4</t>
  </si>
  <si>
    <t>Сопровождение ОЭ (исправление замечаний, 20% от календарной длительности ОЭ)</t>
  </si>
  <si>
    <t>5.5</t>
  </si>
  <si>
    <t>Передача результатов работ</t>
  </si>
  <si>
    <t>5.6</t>
  </si>
  <si>
    <t>Передача исходных кодов (проверка оформления кода, проверка билдится ли код, запись на диск подготовка сопроводительной документации) (1-2,5 рабочих дня)</t>
  </si>
  <si>
    <t>5.7</t>
  </si>
  <si>
    <t>Гарантийное сопровождение (5-10% от календарной длительности гарантийного сопровождения)</t>
  </si>
  <si>
    <t>5.8</t>
  </si>
  <si>
    <t>Передача в промышленную эксплуатацию (0,5-1,5 рабочих дня)</t>
  </si>
  <si>
    <t>6.</t>
  </si>
  <si>
    <t>Менеджмент</t>
  </si>
  <si>
    <t>6.1</t>
  </si>
  <si>
    <t>Формирование команды (0,5-3 рабочих дня)</t>
  </si>
  <si>
    <t>6.2</t>
  </si>
  <si>
    <t>Управление проектом (20% от календарной длительности разработки ПО)</t>
  </si>
  <si>
    <t>6.3</t>
  </si>
  <si>
    <t>Управление рисками (20% от календарной длительности разработки ПО)</t>
  </si>
  <si>
    <t>6.4</t>
  </si>
  <si>
    <t>Управление изменениями (5% от календарной длительности)</t>
  </si>
  <si>
    <t>6.5</t>
  </si>
  <si>
    <t>Совещания, планерки, ретроспективы, ревью проекта (10-20% от календарной длительности разработки ПО)</t>
  </si>
  <si>
    <t>7.</t>
  </si>
  <si>
    <t>Пресейл</t>
  </si>
  <si>
    <t>7.1</t>
  </si>
  <si>
    <t>Переговоры</t>
  </si>
  <si>
    <t>7.2</t>
  </si>
  <si>
    <t>Оценка проекта (изучение требований, подбор компонентов, подготовка документа Оценка проекта)</t>
  </si>
  <si>
    <t>7.3</t>
  </si>
  <si>
    <t xml:space="preserve">Составление ТЗ (по необходимости) </t>
  </si>
  <si>
    <t>7.4</t>
  </si>
  <si>
    <t>Документация (ОРД, тендерная, коммерческое предложение)</t>
  </si>
  <si>
    <t>Итог</t>
  </si>
  <si>
    <t>Мин</t>
  </si>
  <si>
    <t>Реал</t>
  </si>
  <si>
    <t>Пес</t>
  </si>
  <si>
    <t>Оценка</t>
  </si>
  <si>
    <t>Изучение требований</t>
  </si>
  <si>
    <t>Подбор компонентов</t>
  </si>
  <si>
    <t>Составление коммерческого предложения</t>
  </si>
  <si>
    <t>Составление ТЗ</t>
  </si>
  <si>
    <t>Документация (ОРД, тендерная)</t>
  </si>
  <si>
    <t>Общие</t>
  </si>
  <si>
    <t>Формирование команды</t>
  </si>
  <si>
    <t>Изучение ТЗ</t>
  </si>
  <si>
    <t>Распределение задач</t>
  </si>
  <si>
    <t>Инфраструктура</t>
  </si>
  <si>
    <t>TFS</t>
  </si>
  <si>
    <t>OneNote</t>
  </si>
  <si>
    <t>Установка софта</t>
  </si>
  <si>
    <t>Настрока билдов</t>
  </si>
  <si>
    <t>Проектирование</t>
  </si>
  <si>
    <t>Архитектура системы</t>
  </si>
  <si>
    <t>Архитектура БД</t>
  </si>
  <si>
    <t>Проектирование интерфейса</t>
  </si>
  <si>
    <t>Разработка тех. решений</t>
  </si>
  <si>
    <t>Переговоры с заказчиком</t>
  </si>
  <si>
    <t>Совещания</t>
  </si>
  <si>
    <t>Планирование</t>
  </si>
  <si>
    <t>Управление изменениями</t>
  </si>
  <si>
    <t>Демо-показы</t>
  </si>
  <si>
    <t>Разработка</t>
  </si>
  <si>
    <t>Изучение документации</t>
  </si>
  <si>
    <t>Уточнение требований</t>
  </si>
  <si>
    <t>Разработка и отладка требования</t>
  </si>
  <si>
    <t>Документрование (внутренняя документация)</t>
  </si>
  <si>
    <t>Автотест  (по необходимости)</t>
  </si>
  <si>
    <t>Код ревью</t>
  </si>
  <si>
    <t>Тестирование тестировщиком</t>
  </si>
  <si>
    <t>Документирование</t>
  </si>
  <si>
    <t>Руководство пользователя</t>
  </si>
  <si>
    <t>Установка ПО</t>
  </si>
  <si>
    <t>Обучение</t>
  </si>
  <si>
    <t>Передача в опытную эксплуатацию</t>
  </si>
  <si>
    <t>Сопровождение ОЭ (исправление замечаний)</t>
  </si>
  <si>
    <t>Передача исходных кодов</t>
  </si>
  <si>
    <t>Гарантийное сопровождение</t>
  </si>
  <si>
    <t>Передача в промышленную эксплуатацию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</si>
</sst>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2" fillId="3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0" fillId="2" borderId="1" xfId="1" applyFont="1"/>
    <xf numFmtId="0" fontId="3" fillId="2" borderId="1" xfId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horizontal="left" wrapText="1" indent="1"/>
    </xf>
    <xf numFmtId="0" fontId="2" fillId="3" borderId="1" xfId="2" applyBorder="1" applyAlignment="1">
      <alignment wrapText="1"/>
    </xf>
    <xf numFmtId="49" fontId="2" fillId="3" borderId="0" xfId="2" applyNumberFormat="1" applyAlignment="1">
      <alignment wrapText="1"/>
    </xf>
    <xf numFmtId="0" fontId="2" fillId="3" borderId="0" xfId="2" applyNumberFormat="1"/>
    <xf numFmtId="0" fontId="0" fillId="5" borderId="1" xfId="0" applyFill="1" applyBorder="1"/>
    <xf numFmtId="0" fontId="2" fillId="3" borderId="0" xfId="2" applyBorder="1" applyAlignment="1">
      <alignment wrapText="1"/>
    </xf>
    <xf numFmtId="0" fontId="0" fillId="4" borderId="0" xfId="0" applyFill="1" applyAlignment="1">
      <alignment horizontal="right"/>
    </xf>
    <xf numFmtId="0" fontId="4" fillId="2" borderId="1" xfId="1" applyFont="1"/>
    <xf numFmtId="0" fontId="0" fillId="6" borderId="0" xfId="0" applyFont="1" applyFill="1"/>
    <xf numFmtId="0" fontId="1" fillId="6" borderId="0" xfId="0" applyFont="1" applyFill="1"/>
    <xf numFmtId="0" fontId="0" fillId="6" borderId="0" xfId="0" applyFill="1"/>
    <xf numFmtId="49" fontId="0" fillId="3" borderId="0" xfId="2" applyNumberFormat="1" applyFont="1" applyAlignment="1">
      <alignment wrapText="1"/>
    </xf>
    <xf numFmtId="0" fontId="0" fillId="3" borderId="0" xfId="2" applyFont="1" applyAlignment="1">
      <alignment wrapText="1"/>
    </xf>
    <xf numFmtId="0" fontId="0" fillId="0" borderId="2" xfId="0" applyBorder="1"/>
    <xf numFmtId="0" fontId="2" fillId="3" borderId="2" xfId="2" applyBorder="1"/>
    <xf numFmtId="0" fontId="0" fillId="0" borderId="2" xfId="0" applyNumberFormat="1" applyBorder="1"/>
    <xf numFmtId="0" fontId="2" fillId="3" borderId="2" xfId="2" applyNumberFormat="1" applyBorder="1"/>
    <xf numFmtId="0" fontId="5" fillId="3" borderId="1" xfId="2" applyFont="1" applyBorder="1" applyAlignment="1">
      <alignment wrapText="1"/>
    </xf>
    <xf numFmtId="49" fontId="5" fillId="3" borderId="0" xfId="2" applyNumberFormat="1" applyFont="1" applyAlignment="1">
      <alignment wrapText="1"/>
    </xf>
    <xf numFmtId="0" fontId="5" fillId="3" borderId="0" xfId="2" applyFont="1" applyAlignment="1">
      <alignment wrapText="1"/>
    </xf>
    <xf numFmtId="0" fontId="5" fillId="3" borderId="2" xfId="2" applyFont="1" applyBorder="1"/>
    <xf numFmtId="0" fontId="5" fillId="3" borderId="0" xfId="2" applyNumberFormat="1" applyFont="1"/>
    <xf numFmtId="0" fontId="5" fillId="3" borderId="2" xfId="2" applyNumberFormat="1" applyFont="1" applyBorder="1"/>
    <xf numFmtId="0" fontId="5" fillId="3" borderId="1" xfId="2" applyFont="1" applyBorder="1"/>
    <xf numFmtId="0" fontId="5" fillId="3" borderId="0" xfId="2" applyFont="1" applyBorder="1"/>
    <xf numFmtId="49" fontId="5" fillId="3" borderId="0" xfId="2" applyNumberFormat="1" applyFont="1"/>
    <xf numFmtId="0" fontId="5" fillId="3" borderId="3" xfId="2" applyFont="1" applyBorder="1"/>
    <xf numFmtId="0" fontId="5" fillId="3" borderId="0" xfId="2" applyFont="1"/>
    <xf numFmtId="0" fontId="5" fillId="3" borderId="4" xfId="2" applyFont="1" applyBorder="1"/>
    <xf numFmtId="0" fontId="5" fillId="3" borderId="2" xfId="2" applyFont="1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40% — акцент1" xfId="2" builtinId="31"/>
    <cellStyle name="Обычный" xfId="0" builtinId="0"/>
    <cellStyle name="Примечание" xfId="1" builtinId="10"/>
  </cellStyles>
  <dxfs count="11"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4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7:I55" totalsRowCount="1">
  <autoFilter ref="A7:I54" xr:uid="{00000000-0009-0000-0100-000001000000}">
    <filterColumn colId="0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9" xr3:uid="{00000000-0010-0000-0000-000009000000}" name="Требует уточнения" totalsRowLabel="Итог" totalsRowDxfId="10"/>
    <tableColumn id="11" xr3:uid="{00000000-0010-0000-0000-00000B000000}" name="пункт ТЗ" dataDxfId="8" totalsRowDxfId="9"/>
    <tableColumn id="10" xr3:uid="{00000000-0010-0000-0000-00000A000000}" name="#ПП" dataDxfId="7"/>
    <tableColumn id="1" xr3:uid="{00000000-0010-0000-0000-000001000000}" name="Работы" dataDxfId="5" totalsRowDxfId="6"/>
    <tableColumn id="2" xr3:uid="{00000000-0010-0000-0000-000002000000}" name="Оптимист" totalsRowFunction="sum" dataDxfId="4"/>
    <tableColumn id="6" xr3:uid="{00000000-0010-0000-0000-000006000000}" name="Реалист" totalsRowFunction="sum" dataDxfId="3"/>
    <tableColumn id="5" xr3:uid="{00000000-0010-0000-0000-000005000000}" name="Пессимист" totalsRowFunction="sum" dataDxfId="2"/>
    <tableColumn id="7" xr3:uid="{00000000-0010-0000-0000-000007000000}" name="SD" totalsRowFunction="sum" dataDxfId="1">
      <calculatedColumnFormula>POWER((Таблица1[[#This Row],[Пессимист]]-Таблица1[[#This Row],[Оптимист]])/6,2)</calculatedColumnFormula>
    </tableColumn>
    <tableColumn id="17" xr3:uid="{00000000-0010-0000-0000-000011000000}" name="EAD" totalsRowFunction="sum" dataDxfId="0">
      <calculatedColumnFormula>(Таблица1[[#This Row],[Оптимист]]+4*Таблица1[[#This Row],[Реалист]]+Таблица1[[#This Row],[Пессимист]])/6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 xr3:uid="{AEA406A1-0E4B-5B11-9CD5-51D6E497D94C}">
      <pane ySplit="7" topLeftCell="A11" activePane="bottomLeft" state="frozen"/>
      <selection pane="bottomLeft" activeCell="J7" sqref="J7"/>
    </sheetView>
  </sheetViews>
  <sheetFormatPr defaultRowHeight="15"/>
  <cols>
    <col min="1" max="2" width="10.5703125" customWidth="1"/>
    <col min="3" max="3" width="9.140625" style="9" customWidth="1"/>
    <col min="4" max="4" width="60.85546875" style="6" customWidth="1"/>
    <col min="5" max="5" width="11" customWidth="1"/>
    <col min="6" max="7" width="10.42578125" customWidth="1"/>
    <col min="8" max="9" width="12.85546875" hidden="1" customWidth="1"/>
    <col min="10" max="10" width="10.85546875" bestFit="1" customWidth="1"/>
    <col min="11" max="11" width="11.85546875" bestFit="1" customWidth="1"/>
  </cols>
  <sheetData>
    <row r="1" spans="1:11">
      <c r="A1" s="41"/>
      <c r="B1" s="41"/>
      <c r="D1" s="42"/>
      <c r="E1" s="47"/>
      <c r="F1" s="47"/>
      <c r="G1" s="47"/>
      <c r="H1" s="44" t="s">
        <v>0</v>
      </c>
      <c r="I1" s="44" t="s">
        <v>1</v>
      </c>
      <c r="J1" s="44" t="s">
        <v>0</v>
      </c>
      <c r="K1" s="44" t="s">
        <v>1</v>
      </c>
    </row>
    <row r="2" spans="1:11">
      <c r="A2" s="41"/>
      <c r="B2" s="41"/>
      <c r="D2" s="42"/>
      <c r="E2" s="44"/>
      <c r="F2" s="44"/>
      <c r="G2" s="17" t="s">
        <v>2</v>
      </c>
      <c r="H2" s="44">
        <f>(Таблица1[[#Totals],[EAD]]-2*SQRT(Таблица1[[#Totals],[SD]]))/8</f>
        <v>0</v>
      </c>
      <c r="I2" s="44">
        <f>(Таблица1[[#Totals],[EAD]]+2*SQRT(Таблица1[[#Totals],[SD]]))/8</f>
        <v>0</v>
      </c>
      <c r="J2" s="44">
        <f>(Таблица1[[#Totals],[EAD]]-2*SQRT(Таблица1[[#Totals],[SD]]))/8</f>
        <v>0</v>
      </c>
      <c r="K2" s="44">
        <f>(Таблица1[[#Totals],[EAD]]+2*SQRT(Таблица1[[#Totals],[SD]]))/8</f>
        <v>0</v>
      </c>
    </row>
    <row r="3" spans="1:11">
      <c r="A3" s="41"/>
      <c r="B3" s="41"/>
      <c r="D3" s="42"/>
      <c r="E3" s="44"/>
      <c r="F3" s="44"/>
      <c r="G3" s="17" t="s">
        <v>3</v>
      </c>
      <c r="H3" s="44">
        <f>H2/22</f>
        <v>0</v>
      </c>
      <c r="I3" s="44">
        <f>I2/22</f>
        <v>0</v>
      </c>
      <c r="J3" s="44">
        <f>J2/22</f>
        <v>0</v>
      </c>
      <c r="K3" s="44">
        <f>K2/22</f>
        <v>0</v>
      </c>
    </row>
    <row r="4" spans="1:11">
      <c r="A4" s="41"/>
      <c r="B4" s="41"/>
      <c r="D4" s="42"/>
      <c r="E4" s="44"/>
      <c r="F4" s="44"/>
      <c r="G4" s="17" t="s">
        <v>4</v>
      </c>
      <c r="H4" s="44">
        <f>2.5*POWER(H3,1/3)</f>
        <v>0</v>
      </c>
      <c r="I4" s="44">
        <f>2.5*POWER(I3,1/3)</f>
        <v>0</v>
      </c>
      <c r="J4" s="44">
        <f>2.5*POWER(J3,1/3)</f>
        <v>0</v>
      </c>
      <c r="K4" s="44">
        <f>2.5*POWER(K3,1/3)</f>
        <v>0</v>
      </c>
    </row>
    <row r="5" spans="1:11" s="41" customFormat="1">
      <c r="C5" s="9"/>
      <c r="D5" s="42"/>
      <c r="E5" s="44"/>
      <c r="F5" s="44"/>
      <c r="G5" s="17" t="s">
        <v>5</v>
      </c>
      <c r="H5" s="44"/>
      <c r="I5" s="44"/>
      <c r="J5" s="44">
        <v>0</v>
      </c>
      <c r="K5" s="44">
        <v>0</v>
      </c>
    </row>
    <row r="6" spans="1:11" s="41" customFormat="1">
      <c r="C6" s="9"/>
      <c r="D6" s="42"/>
      <c r="E6" s="44"/>
      <c r="F6" s="44"/>
      <c r="G6" s="45" t="s">
        <v>6</v>
      </c>
      <c r="H6" s="44"/>
      <c r="I6" s="44"/>
      <c r="J6" s="46">
        <f>J2*8*J5</f>
        <v>0</v>
      </c>
      <c r="K6" s="44">
        <f>K2*8*K5</f>
        <v>0</v>
      </c>
    </row>
    <row r="7" spans="1:11" ht="33.950000000000003" customHeight="1">
      <c r="A7" s="8" t="s">
        <v>7</v>
      </c>
      <c r="B7" s="8" t="s">
        <v>8</v>
      </c>
      <c r="C7" s="10" t="s">
        <v>9</v>
      </c>
      <c r="D7" s="42" t="s">
        <v>10</v>
      </c>
      <c r="E7" s="41" t="s">
        <v>11</v>
      </c>
      <c r="F7" s="41" t="s">
        <v>12</v>
      </c>
      <c r="G7" s="41" t="s">
        <v>13</v>
      </c>
      <c r="H7" s="1" t="s">
        <v>14</v>
      </c>
      <c r="I7" s="1" t="s">
        <v>15</v>
      </c>
      <c r="J7" s="41"/>
      <c r="K7" s="41"/>
    </row>
    <row r="8" spans="1:11" ht="33.950000000000003" customHeight="1">
      <c r="A8" s="28"/>
      <c r="B8" s="28"/>
      <c r="C8" s="29" t="s">
        <v>16</v>
      </c>
      <c r="D8" s="30" t="s">
        <v>17</v>
      </c>
      <c r="E8" s="31"/>
      <c r="F8" s="32"/>
      <c r="G8" s="32"/>
      <c r="H8" s="33">
        <f>POWER((Таблица1[[#This Row],[Пессимист]]-Таблица1[[#This Row],[Оптимист]])/6,2)</f>
        <v>0</v>
      </c>
      <c r="I8" s="32">
        <f>(Таблица1[[#This Row],[Оптимист]]+4*Таблица1[[#This Row],[Реалист]]+Таблица1[[#This Row],[Пессимист]])/6</f>
        <v>0</v>
      </c>
      <c r="J8" s="41"/>
      <c r="K8" s="41"/>
    </row>
    <row r="9" spans="1:11" s="41" customFormat="1">
      <c r="A9" s="28"/>
      <c r="B9" s="28"/>
      <c r="C9" s="29"/>
      <c r="D9" s="23" t="s">
        <v>18</v>
      </c>
      <c r="E9" s="31"/>
      <c r="F9" s="32"/>
      <c r="G9" s="32"/>
      <c r="H9" s="33">
        <f>POWER((Таблица1[[#This Row],[Пессимист]]-Таблица1[[#This Row],[Оптимист]])/6,2)</f>
        <v>0</v>
      </c>
      <c r="I9" s="32">
        <f>(Таблица1[[#This Row],[Оптимист]]+4*Таблица1[[#This Row],[Реалист]]+Таблица1[[#This Row],[Пессимист]])/6</f>
        <v>0</v>
      </c>
    </row>
    <row r="10" spans="1:11">
      <c r="A10" s="12"/>
      <c r="B10" s="16"/>
      <c r="C10" s="22" t="s">
        <v>19</v>
      </c>
      <c r="D10" s="23" t="s">
        <v>20</v>
      </c>
      <c r="E10" s="25"/>
      <c r="F10" s="13"/>
      <c r="G10" s="13"/>
      <c r="H10" s="27">
        <f>POWER((Таблица1[[#This Row],[Пессимист]]-Таблица1[[#This Row],[Оптимист]])/6,2)</f>
        <v>0</v>
      </c>
      <c r="I10" s="14">
        <f>(Таблица1[[#This Row],[Оптимист]]+4*Таблица1[[#This Row],[Реалист]]+Таблица1[[#This Row],[Пессимист]])/6</f>
        <v>0</v>
      </c>
      <c r="J10" s="41"/>
      <c r="K10" s="41"/>
    </row>
    <row r="11" spans="1:11">
      <c r="A11" s="8"/>
      <c r="B11" s="8"/>
      <c r="C11" s="10" t="s">
        <v>21</v>
      </c>
      <c r="D11" s="42" t="s">
        <v>22</v>
      </c>
      <c r="E11" s="24"/>
      <c r="F11" s="43"/>
      <c r="G11" s="43"/>
      <c r="H11" s="26">
        <f>POWER((Таблица1[[#This Row],[Пессимист]]-Таблица1[[#This Row],[Оптимист]])/6,2)</f>
        <v>0</v>
      </c>
      <c r="I11" s="43">
        <f>(Таблица1[[#This Row],[Оптимист]]+4*Таблица1[[#This Row],[Реалист]]+Таблица1[[#This Row],[Пессимист]])/6</f>
        <v>0</v>
      </c>
      <c r="J11" s="41"/>
      <c r="K11" s="41"/>
    </row>
    <row r="12" spans="1:11">
      <c r="A12" s="7"/>
      <c r="B12" s="7"/>
      <c r="D12" s="42"/>
      <c r="E12" s="24"/>
      <c r="F12" s="43"/>
      <c r="G12" s="43"/>
      <c r="H12" s="26">
        <f>POWER((Таблица1[[#This Row],[Пессимист]]-Таблица1[[#This Row],[Оптимист]])/6,2)</f>
        <v>0</v>
      </c>
      <c r="I12" s="43">
        <f>(Таблица1[[#This Row],[Оптимист]]+4*Таблица1[[#This Row],[Реалист]]+Таблица1[[#This Row],[Пессимист]])/6</f>
        <v>0</v>
      </c>
      <c r="J12" s="41"/>
      <c r="K12" s="41"/>
    </row>
    <row r="13" spans="1:11">
      <c r="A13" s="34"/>
      <c r="B13" s="35"/>
      <c r="C13" s="36" t="s">
        <v>23</v>
      </c>
      <c r="D13" s="37" t="s">
        <v>24</v>
      </c>
      <c r="E13" s="31"/>
      <c r="F13" s="38"/>
      <c r="G13" s="38"/>
      <c r="H13" s="33">
        <f>POWER((Таблица1[[#This Row],[Пессимист]]-Таблица1[[#This Row],[Оптимист]])/6,2)</f>
        <v>0</v>
      </c>
      <c r="I13" s="32">
        <f>(Таблица1[[#This Row],[Оптимист]]+4*Таблица1[[#This Row],[Реалист]]+Таблица1[[#This Row],[Пессимист]])/6</f>
        <v>0</v>
      </c>
      <c r="J13" s="41"/>
      <c r="K13" s="41"/>
    </row>
    <row r="14" spans="1:11">
      <c r="A14" s="7"/>
      <c r="B14" s="7"/>
      <c r="C14" s="9" t="s">
        <v>25</v>
      </c>
      <c r="D14" s="41"/>
      <c r="E14" s="24"/>
      <c r="F14" s="43"/>
      <c r="G14" s="43"/>
      <c r="H14" s="26">
        <f>POWER((Таблица1[[#This Row],[Пессимист]]-Таблица1[[#This Row],[Оптимист]])/6,2)</f>
        <v>0</v>
      </c>
      <c r="I14" s="43">
        <f>(Таблица1[[#This Row],[Оптимист]]+4*Таблица1[[#This Row],[Реалист]]+Таблица1[[#This Row],[Пессимист]])/6</f>
        <v>0</v>
      </c>
      <c r="J14" s="41"/>
      <c r="K14" s="41"/>
    </row>
    <row r="15" spans="1:11">
      <c r="A15" s="7"/>
      <c r="B15" s="7"/>
      <c r="C15" s="9" t="s">
        <v>26</v>
      </c>
      <c r="D15" s="41" t="s">
        <v>27</v>
      </c>
      <c r="E15" s="24"/>
      <c r="F15" s="43"/>
      <c r="G15" s="43"/>
      <c r="H15" s="26">
        <f>POWER((Таблица1[[#This Row],[Пессимист]]-Таблица1[[#This Row],[Оптимист]])/6,2)</f>
        <v>0</v>
      </c>
      <c r="I15" s="43">
        <f>(Таблица1[[#This Row],[Оптимист]]+4*Таблица1[[#This Row],[Реалист]]+Таблица1[[#This Row],[Пессимист]])/6</f>
        <v>0</v>
      </c>
      <c r="J15" s="41"/>
      <c r="K15" s="41"/>
    </row>
    <row r="16" spans="1:11">
      <c r="A16" s="7"/>
      <c r="B16" s="7"/>
      <c r="C16" s="9" t="s">
        <v>28</v>
      </c>
      <c r="D16" s="41" t="s">
        <v>29</v>
      </c>
      <c r="E16" s="24"/>
      <c r="F16" s="43"/>
      <c r="G16" s="43"/>
      <c r="H16" s="26">
        <f>POWER((Таблица1[[#This Row],[Пессимист]]-Таблица1[[#This Row],[Оптимист]])/6,2)</f>
        <v>0</v>
      </c>
      <c r="I16" s="43">
        <f>(Таблица1[[#This Row],[Оптимист]]+4*Таблица1[[#This Row],[Реалист]]+Таблица1[[#This Row],[Пессимист]])/6</f>
        <v>0</v>
      </c>
      <c r="J16" s="41"/>
      <c r="K16" s="41"/>
    </row>
    <row r="17" spans="1:9" s="41" customFormat="1">
      <c r="A17" s="7"/>
      <c r="B17" s="18"/>
      <c r="C17" s="9" t="s">
        <v>30</v>
      </c>
      <c r="D17" s="41" t="s">
        <v>31</v>
      </c>
      <c r="E17" s="24"/>
      <c r="F17" s="43"/>
      <c r="G17" s="43"/>
      <c r="H17" s="26">
        <f>POWER((Таблица1[[#This Row],[Пессимист]]-Таблица1[[#This Row],[Оптимист]])/6,2)</f>
        <v>0</v>
      </c>
      <c r="I17" s="43">
        <f>(Таблица1[[#This Row],[Оптимист]]+4*Таблица1[[#This Row],[Реалист]]+Таблица1[[#This Row],[Пессимист]])/6</f>
        <v>0</v>
      </c>
    </row>
    <row r="18" spans="1:9">
      <c r="A18" s="7"/>
      <c r="B18" s="7"/>
      <c r="D18" s="11"/>
      <c r="E18" s="24"/>
      <c r="F18" s="43"/>
      <c r="G18" s="43"/>
      <c r="H18" s="24">
        <f>POWER((Таблица1[[#This Row],[Пессимист]]-Таблица1[[#This Row],[Оптимист]])/6,2)</f>
        <v>0</v>
      </c>
      <c r="I18" s="41">
        <f>(Таблица1[[#This Row],[Оптимист]]+4*Таблица1[[#This Row],[Реалист]]+Таблица1[[#This Row],[Пессимист]])/6</f>
        <v>0</v>
      </c>
    </row>
    <row r="19" spans="1:9">
      <c r="A19" s="34"/>
      <c r="B19" s="34"/>
      <c r="C19" s="34" t="s">
        <v>32</v>
      </c>
      <c r="D19" s="37" t="s">
        <v>33</v>
      </c>
      <c r="E19" s="39"/>
      <c r="F19" s="34"/>
      <c r="G19" s="37"/>
      <c r="H19" s="39">
        <f>POWER((Таблица1[[#This Row],[Пессимист]]-Таблица1[[#This Row],[Оптимист]])/6,2)</f>
        <v>0</v>
      </c>
      <c r="I19" s="34">
        <f>(Таблица1[[#This Row],[Оптимист]]+4*Таблица1[[#This Row],[Реалист]]+Таблица1[[#This Row],[Пессимист]])/6</f>
        <v>0</v>
      </c>
    </row>
    <row r="20" spans="1:9">
      <c r="A20" s="7"/>
      <c r="B20" s="7"/>
      <c r="C20" s="9" t="s">
        <v>34</v>
      </c>
      <c r="D20" s="42" t="s">
        <v>35</v>
      </c>
      <c r="E20" s="24"/>
      <c r="F20" s="43"/>
      <c r="G20" s="43"/>
      <c r="H20" s="24">
        <f>POWER((Таблица1[[#This Row],[Пессимист]]-Таблица1[[#This Row],[Оптимист]])/6,2)</f>
        <v>0</v>
      </c>
      <c r="I20" s="41">
        <f>(Таблица1[[#This Row],[Оптимист]]+4*Таблица1[[#This Row],[Реалист]]+Таблица1[[#This Row],[Пессимист]])/6</f>
        <v>0</v>
      </c>
    </row>
    <row r="21" spans="1:9">
      <c r="A21" s="7"/>
      <c r="B21" s="7"/>
      <c r="C21" s="9" t="s">
        <v>36</v>
      </c>
      <c r="D21" s="42" t="s">
        <v>37</v>
      </c>
      <c r="E21" s="24"/>
      <c r="F21" s="43"/>
      <c r="G21" s="43"/>
      <c r="H21" s="24">
        <f>POWER((Таблица1[[#This Row],[Пессимист]]-Таблица1[[#This Row],[Оптимист]])/6,2)</f>
        <v>0</v>
      </c>
      <c r="I21" s="41">
        <f>(Таблица1[[#This Row],[Оптимист]]+4*Таблица1[[#This Row],[Реалист]]+Таблица1[[#This Row],[Пессимист]])/6</f>
        <v>0</v>
      </c>
    </row>
    <row r="22" spans="1:9">
      <c r="A22" s="7"/>
      <c r="B22" s="7"/>
      <c r="C22" s="9" t="s">
        <v>38</v>
      </c>
      <c r="D22" s="42" t="s">
        <v>39</v>
      </c>
      <c r="E22" s="24"/>
      <c r="F22" s="43"/>
      <c r="G22" s="43"/>
      <c r="H22" s="24">
        <f>POWER((Таблица1[[#This Row],[Пессимист]]-Таблица1[[#This Row],[Оптимист]])/6,2)</f>
        <v>0</v>
      </c>
      <c r="I22" s="41">
        <f>(Таблица1[[#This Row],[Оптимист]]+4*Таблица1[[#This Row],[Реалист]]+Таблица1[[#This Row],[Пессимист]])/6</f>
        <v>0</v>
      </c>
    </row>
    <row r="23" spans="1:9">
      <c r="A23" s="7"/>
      <c r="B23" s="18"/>
      <c r="C23" s="9" t="s">
        <v>40</v>
      </c>
      <c r="D23" s="42" t="s">
        <v>41</v>
      </c>
      <c r="E23" s="24"/>
      <c r="F23" s="43"/>
      <c r="G23" s="43"/>
      <c r="H23" s="26">
        <f>POWER((Таблица1[[#This Row],[Пессимист]]-Таблица1[[#This Row],[Оптимист]])/6,2)</f>
        <v>0</v>
      </c>
      <c r="I23" s="43">
        <f>(Таблица1[[#This Row],[Оптимист]]+4*Таблица1[[#This Row],[Реалист]]+Таблица1[[#This Row],[Пессимист]])/6</f>
        <v>0</v>
      </c>
    </row>
    <row r="24" spans="1:9">
      <c r="A24" s="7"/>
      <c r="B24" s="18"/>
      <c r="C24" s="9" t="s">
        <v>42</v>
      </c>
      <c r="D24" s="41" t="s">
        <v>43</v>
      </c>
      <c r="E24" s="24"/>
      <c r="F24" s="43"/>
      <c r="G24" s="43"/>
      <c r="H24" s="26">
        <f>POWER((Таблица1[[#This Row],[Пессимист]]-Таблица1[[#This Row],[Оптимист]])/6,2)</f>
        <v>0</v>
      </c>
      <c r="I24" s="43">
        <f>(Таблица1[[#This Row],[Оптимист]]+4*Таблица1[[#This Row],[Реалист]]+Таблица1[[#This Row],[Пессимист]])/6</f>
        <v>0</v>
      </c>
    </row>
    <row r="25" spans="1:9" s="41" customFormat="1">
      <c r="A25" s="7"/>
      <c r="B25" s="18"/>
      <c r="C25" s="9"/>
      <c r="D25" s="41" t="s">
        <v>44</v>
      </c>
      <c r="E25" s="24"/>
      <c r="F25" s="43"/>
      <c r="G25" s="43"/>
      <c r="H25" s="26">
        <f>POWER((Таблица1[[#This Row],[Пессимист]]-Таблица1[[#This Row],[Оптимист]])/6,2)</f>
        <v>0</v>
      </c>
      <c r="I25" s="43">
        <f>(Таблица1[[#This Row],[Оптимист]]+4*Таблица1[[#This Row],[Реалист]]+Таблица1[[#This Row],[Пессимист]])/6</f>
        <v>0</v>
      </c>
    </row>
    <row r="26" spans="1:9">
      <c r="A26" s="7"/>
      <c r="B26" s="7"/>
      <c r="D26" s="42"/>
      <c r="E26" s="24"/>
      <c r="F26" s="43"/>
      <c r="G26" s="43"/>
      <c r="H26" s="24">
        <f>POWER((Таблица1[[#This Row],[Пессимист]]-Таблица1[[#This Row],[Оптимист]])/6,2)</f>
        <v>0</v>
      </c>
      <c r="I26" s="41">
        <f>(Таблица1[[#This Row],[Оптимист]]+4*Таблица1[[#This Row],[Реалист]]+Таблица1[[#This Row],[Пессимист]])/6</f>
        <v>0</v>
      </c>
    </row>
    <row r="27" spans="1:9">
      <c r="A27" s="34"/>
      <c r="B27" s="34"/>
      <c r="C27" s="34" t="s">
        <v>45</v>
      </c>
      <c r="D27" s="37" t="s">
        <v>46</v>
      </c>
      <c r="E27" s="39"/>
      <c r="F27" s="34"/>
      <c r="G27" s="37"/>
      <c r="H27" s="39">
        <f>POWER((Таблица1[[#This Row],[Пессимист]]-Таблица1[[#This Row],[Оптимист]])/6,2)</f>
        <v>0</v>
      </c>
      <c r="I27" s="34">
        <f>(Таблица1[[#This Row],[Оптимист]]+4*Таблица1[[#This Row],[Реалист]]+Таблица1[[#This Row],[Пессимист]])/6</f>
        <v>0</v>
      </c>
    </row>
    <row r="28" spans="1:9" ht="30">
      <c r="A28" s="7"/>
      <c r="B28" s="7"/>
      <c r="C28" s="9" t="s">
        <v>47</v>
      </c>
      <c r="D28" s="42" t="s">
        <v>48</v>
      </c>
      <c r="E28" s="24"/>
      <c r="F28" s="43"/>
      <c r="G28" s="43"/>
      <c r="H28" s="24">
        <f>POWER((Таблица1[[#This Row],[Пессимист]]-Таблица1[[#This Row],[Оптимист]])/6,2)</f>
        <v>0</v>
      </c>
      <c r="I28" s="41">
        <f>(Таблица1[[#This Row],[Оптимист]]+4*Таблица1[[#This Row],[Реалист]]+Таблица1[[#This Row],[Пессимист]])/6</f>
        <v>0</v>
      </c>
    </row>
    <row r="29" spans="1:9">
      <c r="A29" s="7"/>
      <c r="B29" s="7"/>
      <c r="C29" s="9" t="s">
        <v>49</v>
      </c>
      <c r="D29" s="42" t="s">
        <v>50</v>
      </c>
      <c r="E29" s="24"/>
      <c r="F29" s="43"/>
      <c r="G29" s="43"/>
      <c r="H29" s="24">
        <f>POWER((Таблица1[[#This Row],[Пессимист]]-Таблица1[[#This Row],[Оптимист]])/6,2)</f>
        <v>0</v>
      </c>
      <c r="I29" s="41">
        <f>(Таблица1[[#This Row],[Оптимист]]+4*Таблица1[[#This Row],[Реалист]]+Таблица1[[#This Row],[Пессимист]])/6</f>
        <v>0</v>
      </c>
    </row>
    <row r="30" spans="1:9">
      <c r="A30" s="7"/>
      <c r="B30" s="7"/>
      <c r="D30" s="42"/>
      <c r="E30" s="24"/>
      <c r="F30" s="43"/>
      <c r="G30" s="43"/>
      <c r="H30" s="24">
        <f>POWER((Таблица1[[#This Row],[Пессимист]]-Таблица1[[#This Row],[Оптимист]])/6,2)</f>
        <v>0</v>
      </c>
      <c r="I30" s="41">
        <f>(Таблица1[[#This Row],[Оптимист]]+4*Таблица1[[#This Row],[Реалист]]+Таблица1[[#This Row],[Пессимист]])/6</f>
        <v>0</v>
      </c>
    </row>
    <row r="31" spans="1:9">
      <c r="A31" s="34"/>
      <c r="B31" s="34"/>
      <c r="C31" s="34" t="s">
        <v>51</v>
      </c>
      <c r="D31" s="37" t="s">
        <v>52</v>
      </c>
      <c r="E31" s="39"/>
      <c r="F31" s="34"/>
      <c r="G31" s="37"/>
      <c r="H31" s="39">
        <f>POWER((Таблица1[[#This Row],[Пессимист]]-Таблица1[[#This Row],[Оптимист]])/6,2)</f>
        <v>0</v>
      </c>
      <c r="I31" s="34">
        <f>(Таблица1[[#This Row],[Оптимист]]+4*Таблица1[[#This Row],[Реалист]]+Таблица1[[#This Row],[Пессимист]])/6</f>
        <v>0</v>
      </c>
    </row>
    <row r="32" spans="1:9">
      <c r="A32" s="7"/>
      <c r="B32" s="18"/>
      <c r="C32" s="9" t="s">
        <v>53</v>
      </c>
      <c r="D32" s="5" t="s">
        <v>54</v>
      </c>
      <c r="E32" s="24"/>
      <c r="F32" s="43"/>
      <c r="G32" s="43"/>
      <c r="H32" s="26">
        <f>POWER((Таблица1[[#This Row],[Пессимист]]-Таблица1[[#This Row],[Оптимист]])/6,2)</f>
        <v>0</v>
      </c>
      <c r="I32" s="43">
        <f>(Таблица1[[#This Row],[Оптимист]]+4*Таблица1[[#This Row],[Реалист]]+Таблица1[[#This Row],[Пессимист]])/6</f>
        <v>0</v>
      </c>
    </row>
    <row r="33" spans="1:9">
      <c r="A33" s="7"/>
      <c r="B33" s="18"/>
      <c r="C33" s="9" t="s">
        <v>55</v>
      </c>
      <c r="D33" s="41" t="s">
        <v>56</v>
      </c>
      <c r="E33" s="24"/>
      <c r="F33" s="43"/>
      <c r="G33" s="43"/>
      <c r="H33" s="26">
        <f>POWER((Таблица1[[#This Row],[Пессимист]]-Таблица1[[#This Row],[Оптимист]])/6,2)</f>
        <v>0</v>
      </c>
      <c r="I33" s="43">
        <f>(Таблица1[[#This Row],[Оптимист]]+4*Таблица1[[#This Row],[Реалист]]+Таблица1[[#This Row],[Пессимист]])/6</f>
        <v>0</v>
      </c>
    </row>
    <row r="34" spans="1:9">
      <c r="A34" s="7"/>
      <c r="B34" s="18"/>
      <c r="C34" s="9" t="s">
        <v>57</v>
      </c>
      <c r="D34" s="41" t="s">
        <v>58</v>
      </c>
      <c r="E34" s="24"/>
      <c r="F34" s="43"/>
      <c r="G34" s="43"/>
      <c r="H34" s="26">
        <f>POWER((Таблица1[[#This Row],[Пессимист]]-Таблица1[[#This Row],[Оптимист]])/6,2)</f>
        <v>0</v>
      </c>
      <c r="I34" s="43">
        <f>(Таблица1[[#This Row],[Оптимист]]+4*Таблица1[[#This Row],[Реалист]]+Таблица1[[#This Row],[Пессимист]])/6</f>
        <v>0</v>
      </c>
    </row>
    <row r="35" spans="1:9" ht="30">
      <c r="A35" s="7"/>
      <c r="B35" s="18"/>
      <c r="C35" s="9" t="s">
        <v>59</v>
      </c>
      <c r="D35" s="42" t="s">
        <v>60</v>
      </c>
      <c r="E35" s="24"/>
      <c r="F35" s="43"/>
      <c r="G35" s="43"/>
      <c r="H35" s="26">
        <f>POWER((Таблица1[[#This Row],[Пессимист]]-Таблица1[[#This Row],[Оптимист]])/6,2)</f>
        <v>0</v>
      </c>
      <c r="I35" s="43">
        <f>(Таблица1[[#This Row],[Оптимист]]+4*Таблица1[[#This Row],[Реалист]]+Таблица1[[#This Row],[Пессимист]])/6</f>
        <v>0</v>
      </c>
    </row>
    <row r="36" spans="1:9">
      <c r="A36" s="7"/>
      <c r="B36" s="18"/>
      <c r="C36" s="9" t="s">
        <v>61</v>
      </c>
      <c r="D36" s="41" t="s">
        <v>62</v>
      </c>
      <c r="E36" s="24"/>
      <c r="F36" s="43"/>
      <c r="G36" s="43"/>
      <c r="H36" s="26">
        <f>POWER((Таблица1[[#This Row],[Пессимист]]-Таблица1[[#This Row],[Оптимист]])/6,2)</f>
        <v>0</v>
      </c>
      <c r="I36" s="43">
        <f>(Таблица1[[#This Row],[Оптимист]]+4*Таблица1[[#This Row],[Реалист]]+Таблица1[[#This Row],[Пессимист]])/6</f>
        <v>0</v>
      </c>
    </row>
    <row r="37" spans="1:9" ht="45">
      <c r="A37" s="7"/>
      <c r="B37" s="18"/>
      <c r="C37" s="9" t="s">
        <v>63</v>
      </c>
      <c r="D37" s="42" t="s">
        <v>64</v>
      </c>
      <c r="E37" s="24"/>
      <c r="F37" s="43"/>
      <c r="G37" s="43"/>
      <c r="H37" s="26">
        <f>POWER((Таблица1[[#This Row],[Пессимист]]-Таблица1[[#This Row],[Оптимист]])/6,2)</f>
        <v>0</v>
      </c>
      <c r="I37" s="43">
        <f>(Таблица1[[#This Row],[Оптимист]]+4*Таблица1[[#This Row],[Реалист]]+Таблица1[[#This Row],[Пессимист]])/6</f>
        <v>0</v>
      </c>
    </row>
    <row r="38" spans="1:9" ht="30">
      <c r="A38" s="7"/>
      <c r="B38" s="18"/>
      <c r="C38" s="9" t="s">
        <v>65</v>
      </c>
      <c r="D38" s="42" t="s">
        <v>66</v>
      </c>
      <c r="E38" s="24"/>
      <c r="F38" s="43"/>
      <c r="G38" s="43"/>
      <c r="H38" s="26">
        <f>POWER((Таблица1[[#This Row],[Пессимист]]-Таблица1[[#This Row],[Оптимист]])/6,2)</f>
        <v>0</v>
      </c>
      <c r="I38" s="43">
        <f>(Таблица1[[#This Row],[Оптимист]]+4*Таблица1[[#This Row],[Реалист]]+Таблица1[[#This Row],[Пессимист]])/6</f>
        <v>0</v>
      </c>
    </row>
    <row r="39" spans="1:9">
      <c r="A39" s="7"/>
      <c r="B39" s="18"/>
      <c r="C39" s="9" t="s">
        <v>67</v>
      </c>
      <c r="D39" s="41" t="s">
        <v>68</v>
      </c>
      <c r="E39" s="24"/>
      <c r="F39" s="43"/>
      <c r="G39" s="43"/>
      <c r="H39" s="26">
        <f>POWER((Таблица1[[#This Row],[Пессимист]]-Таблица1[[#This Row],[Оптимист]])/6,2)</f>
        <v>0</v>
      </c>
      <c r="I39" s="43">
        <f>(Таблица1[[#This Row],[Оптимист]]+4*Таблица1[[#This Row],[Реалист]]+Таблица1[[#This Row],[Пессимист]])/6</f>
        <v>0</v>
      </c>
    </row>
    <row r="40" spans="1:9">
      <c r="A40" s="7"/>
      <c r="B40" s="18"/>
      <c r="D40" s="42"/>
      <c r="E40" s="24"/>
      <c r="F40" s="43"/>
      <c r="G40" s="43"/>
      <c r="H40" s="26">
        <f>POWER((Таблица1[[#This Row],[Пессимист]]-Таблица1[[#This Row],[Оптимист]])/6,2)</f>
        <v>0</v>
      </c>
      <c r="I40" s="43">
        <f>(Таблица1[[#This Row],[Оптимист]]+4*Таблица1[[#This Row],[Реалист]]+Таблица1[[#This Row],[Пессимист]])/6</f>
        <v>0</v>
      </c>
    </row>
    <row r="41" spans="1:9">
      <c r="A41" s="7"/>
      <c r="B41" s="7"/>
      <c r="D41" s="42"/>
      <c r="E41" s="24"/>
      <c r="F41" s="43"/>
      <c r="G41" s="43"/>
      <c r="H41" s="24">
        <f>POWER((Таблица1[[#This Row],[Пессимист]]-Таблица1[[#This Row],[Оптимист]])/6,2)</f>
        <v>0</v>
      </c>
      <c r="I41" s="41">
        <f>(Таблица1[[#This Row],[Оптимист]]+4*Таблица1[[#This Row],[Реалист]]+Таблица1[[#This Row],[Пессимист]])/6</f>
        <v>0</v>
      </c>
    </row>
    <row r="42" spans="1:9">
      <c r="A42" s="34"/>
      <c r="B42" s="35"/>
      <c r="C42" s="36" t="s">
        <v>69</v>
      </c>
      <c r="D42" s="30" t="s">
        <v>70</v>
      </c>
      <c r="E42" s="31"/>
      <c r="F42" s="32"/>
      <c r="G42" s="32"/>
      <c r="H42" s="31">
        <f>POWER((Таблица1[[#This Row],[Пессимист]]-Таблица1[[#This Row],[Оптимист]])/6,2)</f>
        <v>0</v>
      </c>
      <c r="I42" s="38">
        <f>(Таблица1[[#This Row],[Оптимист]]+4*Таблица1[[#This Row],[Реалист]]+Таблица1[[#This Row],[Пессимист]])/6</f>
        <v>0</v>
      </c>
    </row>
    <row r="43" spans="1:9">
      <c r="A43" s="7"/>
      <c r="B43" s="7"/>
      <c r="C43" s="9" t="s">
        <v>71</v>
      </c>
      <c r="D43" s="5" t="s">
        <v>72</v>
      </c>
      <c r="E43" s="24"/>
      <c r="F43" s="43"/>
      <c r="G43" s="43"/>
      <c r="H43" s="24">
        <f>POWER((Таблица1[[#This Row],[Пессимист]]-Таблица1[[#This Row],[Оптимист]])/6,2)</f>
        <v>0</v>
      </c>
      <c r="I43" s="41">
        <f>(Таблица1[[#This Row],[Оптимист]]+4*Таблица1[[#This Row],[Реалист]]+Таблица1[[#This Row],[Пессимист]])/6</f>
        <v>0</v>
      </c>
    </row>
    <row r="44" spans="1:9" ht="30">
      <c r="A44" s="7"/>
      <c r="B44" s="7"/>
      <c r="C44" s="9" t="s">
        <v>73</v>
      </c>
      <c r="D44" s="42" t="s">
        <v>74</v>
      </c>
      <c r="E44" s="24"/>
      <c r="F44" s="43"/>
      <c r="G44" s="43"/>
      <c r="H44" s="26">
        <f>POWER((Таблица1[[#This Row],[Пессимист]]-Таблица1[[#This Row],[Оптимист]])/6,2)</f>
        <v>0</v>
      </c>
      <c r="I44" s="43">
        <f>(Таблица1[[#This Row],[Оптимист]]+4*Таблица1[[#This Row],[Реалист]]+Таблица1[[#This Row],[Пессимист]])/6</f>
        <v>0</v>
      </c>
    </row>
    <row r="45" spans="1:9" ht="30">
      <c r="A45" s="7"/>
      <c r="B45" s="7"/>
      <c r="C45" s="9" t="s">
        <v>75</v>
      </c>
      <c r="D45" s="42" t="s">
        <v>76</v>
      </c>
      <c r="E45" s="24"/>
      <c r="F45" s="43"/>
      <c r="G45" s="43"/>
      <c r="H45" s="24">
        <f>POWER((Таблица1[[#This Row],[Пессимист]]-Таблица1[[#This Row],[Оптимист]])/6,2)</f>
        <v>0</v>
      </c>
      <c r="I45" s="41">
        <f>(Таблица1[[#This Row],[Оптимист]]+4*Таблица1[[#This Row],[Реалист]]+Таблица1[[#This Row],[Пессимист]])/6</f>
        <v>0</v>
      </c>
    </row>
    <row r="46" spans="1:9">
      <c r="A46" s="7"/>
      <c r="B46" s="18"/>
      <c r="C46" s="9" t="s">
        <v>77</v>
      </c>
      <c r="D46" s="42" t="s">
        <v>78</v>
      </c>
      <c r="E46" s="24"/>
      <c r="F46" s="43"/>
      <c r="G46" s="43"/>
      <c r="H46" s="26">
        <f>POWER((Таблица1[[#This Row],[Пессимист]]-Таблица1[[#This Row],[Оптимист]])/6,2)</f>
        <v>0</v>
      </c>
      <c r="I46" s="43">
        <f>(Таблица1[[#This Row],[Оптимист]]+4*Таблица1[[#This Row],[Реалист]]+Таблица1[[#This Row],[Пессимист]])/6</f>
        <v>0</v>
      </c>
    </row>
    <row r="47" spans="1:9" ht="30">
      <c r="A47" s="7"/>
      <c r="B47" s="7"/>
      <c r="C47" s="9" t="s">
        <v>79</v>
      </c>
      <c r="D47" s="42" t="s">
        <v>80</v>
      </c>
      <c r="E47" s="24"/>
      <c r="F47" s="43"/>
      <c r="G47" s="43"/>
      <c r="H47" s="24">
        <f>POWER((Таблица1[[#This Row],[Пессимист]]-Таблица1[[#This Row],[Оптимист]])/6,2)</f>
        <v>0</v>
      </c>
      <c r="I47" s="41">
        <f>(Таблица1[[#This Row],[Оптимист]]+4*Таблица1[[#This Row],[Реалист]]+Таблица1[[#This Row],[Пессимист]])/6</f>
        <v>0</v>
      </c>
    </row>
    <row r="48" spans="1:9">
      <c r="A48" s="7"/>
      <c r="B48" s="18"/>
      <c r="D48" s="42"/>
      <c r="E48" s="24"/>
      <c r="F48" s="43"/>
      <c r="G48" s="43"/>
      <c r="H48" s="26">
        <f>POWER((Таблица1[[#This Row],[Пессимист]]-Таблица1[[#This Row],[Оптимист]])/6,2)</f>
        <v>0</v>
      </c>
      <c r="I48" s="43">
        <f>(Таблица1[[#This Row],[Оптимист]]+4*Таблица1[[#This Row],[Реалист]]+Таблица1[[#This Row],[Пессимист]])/6</f>
        <v>0</v>
      </c>
    </row>
    <row r="49" spans="1:9">
      <c r="A49" s="30"/>
      <c r="B49" s="30"/>
      <c r="C49" s="30" t="s">
        <v>81</v>
      </c>
      <c r="D49" s="30" t="s">
        <v>82</v>
      </c>
      <c r="E49" s="40"/>
      <c r="F49" s="30"/>
      <c r="G49" s="30"/>
      <c r="H49" s="40">
        <f>POWER((Таблица1[[#This Row],[Пессимист]]-Таблица1[[#This Row],[Оптимист]])/6,2)</f>
        <v>0</v>
      </c>
      <c r="I49" s="30">
        <f>(Таблица1[[#This Row],[Оптимист]]+4*Таблица1[[#This Row],[Реалист]]+Таблица1[[#This Row],[Пессимист]])/6</f>
        <v>0</v>
      </c>
    </row>
    <row r="50" spans="1:9">
      <c r="A50" s="7"/>
      <c r="B50" s="7"/>
      <c r="C50" s="9" t="s">
        <v>83</v>
      </c>
      <c r="D50" s="41" t="s">
        <v>84</v>
      </c>
      <c r="E50" s="24"/>
      <c r="F50" s="43"/>
      <c r="G50" s="43"/>
      <c r="H50" s="26">
        <f>POWER((Таблица1[[#This Row],[Пессимист]]-Таблица1[[#This Row],[Оптимист]])/6,2)</f>
        <v>0</v>
      </c>
      <c r="I50" s="43">
        <f>(Таблица1[[#This Row],[Оптимист]]+4*Таблица1[[#This Row],[Реалист]]+Таблица1[[#This Row],[Пессимист]])/6</f>
        <v>0</v>
      </c>
    </row>
    <row r="51" spans="1:9" ht="30">
      <c r="A51" s="7"/>
      <c r="B51" s="7"/>
      <c r="C51" s="9" t="s">
        <v>85</v>
      </c>
      <c r="D51" s="42" t="s">
        <v>86</v>
      </c>
      <c r="E51" s="24"/>
      <c r="F51" s="43"/>
      <c r="G51" s="43"/>
      <c r="H51" s="26">
        <f>POWER((Таблица1[[#This Row],[Пессимист]]-Таблица1[[#This Row],[Оптимист]])/6,2)</f>
        <v>0</v>
      </c>
      <c r="I51" s="43">
        <f>(Таблица1[[#This Row],[Оптимист]]+4*Таблица1[[#This Row],[Реалист]]+Таблица1[[#This Row],[Пессимист]])/6</f>
        <v>0</v>
      </c>
    </row>
    <row r="52" spans="1:9">
      <c r="A52" s="7"/>
      <c r="B52" s="7"/>
      <c r="C52" s="9" t="s">
        <v>87</v>
      </c>
      <c r="D52" s="41" t="s">
        <v>88</v>
      </c>
      <c r="E52" s="24"/>
      <c r="F52" s="43"/>
      <c r="G52" s="43"/>
      <c r="H52" s="26">
        <f>POWER((Таблица1[[#This Row],[Пессимист]]-Таблица1[[#This Row],[Оптимист]])/6,2)</f>
        <v>0</v>
      </c>
      <c r="I52" s="43">
        <f>(Таблица1[[#This Row],[Оптимист]]+4*Таблица1[[#This Row],[Реалист]]+Таблица1[[#This Row],[Пессимист]])/6</f>
        <v>0</v>
      </c>
    </row>
    <row r="53" spans="1:9">
      <c r="A53" s="7"/>
      <c r="B53" s="7"/>
      <c r="C53" s="9" t="s">
        <v>89</v>
      </c>
      <c r="D53" s="41" t="s">
        <v>90</v>
      </c>
      <c r="E53" s="24"/>
      <c r="F53" s="43"/>
      <c r="G53" s="43"/>
      <c r="H53" s="26">
        <f>POWER((Таблица1[[#This Row],[Пессимист]]-Таблица1[[#This Row],[Оптимист]])/6,2)</f>
        <v>0</v>
      </c>
      <c r="I53" s="43">
        <f>(Таблица1[[#This Row],[Оптимист]]+4*Таблица1[[#This Row],[Реалист]]+Таблица1[[#This Row],[Пессимист]])/6</f>
        <v>0</v>
      </c>
    </row>
    <row r="54" spans="1:9">
      <c r="A54" s="7"/>
      <c r="B54" s="7"/>
      <c r="D54" s="42"/>
      <c r="E54" s="24"/>
      <c r="F54" s="43"/>
      <c r="G54" s="43"/>
      <c r="H54" s="26">
        <f>POWER((Таблица1[[#This Row],[Пессимист]]-Таблица1[[#This Row],[Оптимист]])/6,2)</f>
        <v>0</v>
      </c>
      <c r="I54" s="43">
        <f>(Таблица1[[#This Row],[Оптимист]]+4*Таблица1[[#This Row],[Реалист]]+Таблица1[[#This Row],[Пессимист]])/6</f>
        <v>0</v>
      </c>
    </row>
    <row r="55" spans="1:9">
      <c r="A55" s="15" t="s">
        <v>91</v>
      </c>
      <c r="B55" s="15"/>
      <c r="C55" s="41"/>
      <c r="D55" s="42"/>
      <c r="E55" s="41">
        <f>SUBTOTAL(109,Таблица1[Оптимист])</f>
        <v>0</v>
      </c>
      <c r="F55" s="41">
        <f>SUBTOTAL(109,Таблица1[Реалист])</f>
        <v>0</v>
      </c>
      <c r="G55" s="41">
        <f>SUBTOTAL(109,Таблица1[Пессимист])</f>
        <v>0</v>
      </c>
      <c r="H55" s="41">
        <f>SUBTOTAL(109,Таблица1[SD])</f>
        <v>0</v>
      </c>
      <c r="I55" s="41">
        <f>SUBTOTAL(109,Таблица1[EAD])</f>
        <v>0</v>
      </c>
    </row>
  </sheetData>
  <mergeCells count="1">
    <mergeCell ref="E1:G1"/>
  </mergeCells>
  <pageMargins left="0.7" right="0.7" top="0.75" bottom="0.75" header="0.3" footer="0.3"/>
  <pageSetup paperSize="9" orientation="portrait" r:id="rId1"/>
  <ignoredErrors>
    <ignoredError sqref="C11" twoDigitTextYea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zoomScale="115" zoomScaleNormal="115" workbookViewId="0" xr3:uid="{958C4451-9541-5A59-BF78-D2F731DF1C81}">
      <pane xSplit="1" ySplit="1" topLeftCell="B2" activePane="bottomRight" state="frozen"/>
      <selection pane="bottomLeft" activeCell="A2" sqref="A2"/>
      <selection pane="topRight" activeCell="B1" sqref="B1"/>
      <selection pane="bottomRight" activeCell="A30" sqref="A30"/>
    </sheetView>
  </sheetViews>
  <sheetFormatPr defaultRowHeight="15"/>
  <cols>
    <col min="1" max="1" width="44" customWidth="1"/>
    <col min="7" max="7" width="12" customWidth="1"/>
    <col min="8" max="8" width="15.140625" customWidth="1"/>
  </cols>
  <sheetData>
    <row r="1" spans="1:8" s="3" customFormat="1" ht="40.9" customHeight="1">
      <c r="A1" s="2" t="s">
        <v>10</v>
      </c>
      <c r="B1" s="2" t="s">
        <v>92</v>
      </c>
      <c r="C1" s="2" t="s">
        <v>93</v>
      </c>
      <c r="D1" s="2" t="s">
        <v>94</v>
      </c>
      <c r="E1" s="2" t="s">
        <v>95</v>
      </c>
      <c r="F1" s="2"/>
      <c r="G1" s="2"/>
      <c r="H1" s="2"/>
    </row>
    <row r="2" spans="1:8">
      <c r="A2" s="20" t="s">
        <v>82</v>
      </c>
      <c r="B2" s="1"/>
      <c r="C2" s="1"/>
      <c r="D2" s="1"/>
      <c r="E2" s="1"/>
      <c r="F2" s="1"/>
      <c r="G2" s="1"/>
      <c r="H2" s="1"/>
    </row>
    <row r="3" spans="1:8">
      <c r="A3" s="21" t="s">
        <v>84</v>
      </c>
      <c r="B3" s="1"/>
      <c r="C3" s="1"/>
      <c r="D3" s="1"/>
      <c r="E3" s="1"/>
      <c r="F3" s="1"/>
      <c r="G3" s="1"/>
      <c r="H3" s="1"/>
    </row>
    <row r="4" spans="1:8">
      <c r="A4" s="21" t="s">
        <v>95</v>
      </c>
      <c r="B4" s="1"/>
      <c r="C4" s="1"/>
      <c r="D4" s="1"/>
      <c r="E4" s="1"/>
      <c r="F4" s="1"/>
      <c r="G4" s="1"/>
      <c r="H4" s="1"/>
    </row>
    <row r="5" spans="1:8">
      <c r="A5" s="21" t="s">
        <v>96</v>
      </c>
      <c r="B5" s="1"/>
      <c r="C5" s="1"/>
      <c r="D5" s="1"/>
      <c r="E5" s="1"/>
      <c r="F5" s="1"/>
      <c r="G5" s="1"/>
      <c r="H5" s="1"/>
    </row>
    <row r="6" spans="1:8">
      <c r="A6" s="21" t="s">
        <v>97</v>
      </c>
      <c r="B6" s="1"/>
      <c r="C6" s="1"/>
      <c r="D6" s="1"/>
      <c r="E6" s="1"/>
      <c r="F6" s="1"/>
      <c r="G6" s="1"/>
      <c r="H6" s="1"/>
    </row>
    <row r="7" spans="1:8">
      <c r="A7" s="21" t="s">
        <v>98</v>
      </c>
      <c r="B7" s="1"/>
      <c r="C7" s="1"/>
      <c r="D7" s="1"/>
      <c r="E7" s="1"/>
      <c r="F7" s="1"/>
      <c r="G7" s="1"/>
      <c r="H7" s="1"/>
    </row>
    <row r="8" spans="1:8">
      <c r="A8" s="21" t="s">
        <v>99</v>
      </c>
      <c r="B8" s="1"/>
      <c r="C8" s="1"/>
      <c r="D8" s="1"/>
      <c r="E8" s="1"/>
      <c r="F8" s="1"/>
      <c r="G8" s="1"/>
      <c r="H8" s="1"/>
    </row>
    <row r="9" spans="1:8">
      <c r="A9" s="21" t="s">
        <v>100</v>
      </c>
      <c r="B9" s="1"/>
      <c r="C9" s="1"/>
      <c r="D9" s="1"/>
      <c r="E9" s="1"/>
      <c r="F9" s="1"/>
      <c r="G9" s="1"/>
      <c r="H9" s="1"/>
    </row>
    <row r="10" spans="1:8">
      <c r="A10" s="41"/>
      <c r="B10" s="1"/>
      <c r="C10" s="1"/>
      <c r="D10" s="1"/>
      <c r="E10" s="1"/>
      <c r="F10" s="1"/>
      <c r="G10" s="1"/>
      <c r="H10" s="1"/>
    </row>
    <row r="11" spans="1:8">
      <c r="A11" s="4" t="s">
        <v>101</v>
      </c>
      <c r="B11" s="1"/>
      <c r="C11" s="1"/>
      <c r="D11" s="1"/>
      <c r="E11" s="1"/>
      <c r="F11" s="1"/>
      <c r="G11" s="1"/>
      <c r="H11" s="1"/>
    </row>
    <row r="12" spans="1:8">
      <c r="A12" s="19" t="s">
        <v>102</v>
      </c>
      <c r="B12" s="1"/>
      <c r="C12" s="1"/>
      <c r="D12" s="1"/>
      <c r="E12" s="1"/>
      <c r="F12" s="1"/>
      <c r="G12" s="1"/>
      <c r="H12" s="1"/>
    </row>
    <row r="13" spans="1:8">
      <c r="A13" s="5" t="s">
        <v>103</v>
      </c>
      <c r="B13" s="1"/>
      <c r="C13" s="1"/>
      <c r="D13" s="1"/>
      <c r="E13" s="1"/>
      <c r="F13" s="1"/>
      <c r="G13" s="1"/>
      <c r="H13" s="1"/>
    </row>
    <row r="14" spans="1:8">
      <c r="A14" s="5" t="s">
        <v>104</v>
      </c>
      <c r="B14" s="1"/>
      <c r="C14" s="1"/>
      <c r="D14" s="1"/>
      <c r="E14" s="1"/>
      <c r="F14" s="1"/>
      <c r="G14" s="1"/>
      <c r="H14" s="1"/>
    </row>
    <row r="15" spans="1:8">
      <c r="A15" s="5"/>
      <c r="B15" s="1"/>
      <c r="C15" s="1"/>
      <c r="D15" s="1"/>
      <c r="E15" s="1"/>
      <c r="F15" s="1"/>
      <c r="G15" s="1"/>
      <c r="H15" s="1"/>
    </row>
    <row r="16" spans="1:8">
      <c r="A16" s="4" t="s">
        <v>105</v>
      </c>
      <c r="B16" s="1"/>
      <c r="C16" s="1"/>
      <c r="D16" s="1"/>
      <c r="E16" s="1"/>
      <c r="F16" s="1"/>
      <c r="G16" s="1"/>
      <c r="H16" s="1"/>
    </row>
    <row r="17" spans="1:8">
      <c r="A17" s="5" t="s">
        <v>106</v>
      </c>
      <c r="B17" s="1"/>
      <c r="C17" s="1"/>
      <c r="D17" s="1"/>
      <c r="E17" s="1"/>
      <c r="F17" s="1"/>
      <c r="G17" s="1"/>
      <c r="H17" s="1"/>
    </row>
    <row r="18" spans="1:8">
      <c r="A18" s="5" t="s">
        <v>107</v>
      </c>
      <c r="B18" s="1"/>
      <c r="C18" s="1"/>
      <c r="D18" s="1"/>
      <c r="E18" s="1"/>
      <c r="F18" s="1"/>
      <c r="G18" s="1"/>
      <c r="H18" s="1"/>
    </row>
    <row r="19" spans="1:8">
      <c r="A19" s="5" t="s">
        <v>108</v>
      </c>
      <c r="B19" s="1"/>
      <c r="C19" s="1"/>
      <c r="D19" s="1"/>
      <c r="E19" s="1"/>
      <c r="F19" s="1"/>
      <c r="G19" s="1"/>
      <c r="H19" s="1"/>
    </row>
    <row r="20" spans="1:8">
      <c r="A20" s="5" t="s">
        <v>109</v>
      </c>
      <c r="B20" s="1"/>
      <c r="C20" s="1"/>
      <c r="D20" s="1"/>
      <c r="E20" s="1"/>
      <c r="F20" s="1"/>
      <c r="G20" s="1"/>
      <c r="H20" s="1"/>
    </row>
    <row r="21" spans="1:8">
      <c r="A21" s="5"/>
      <c r="B21" s="1"/>
      <c r="C21" s="1"/>
      <c r="D21" s="1"/>
      <c r="E21" s="1"/>
      <c r="F21" s="1"/>
      <c r="G21" s="1"/>
      <c r="H21" s="1"/>
    </row>
    <row r="22" spans="1:8">
      <c r="A22" s="4" t="s">
        <v>110</v>
      </c>
      <c r="B22" s="1"/>
      <c r="C22" s="1"/>
      <c r="D22" s="1"/>
      <c r="E22" s="1"/>
      <c r="F22" s="1"/>
      <c r="G22" s="1"/>
      <c r="H22" s="1"/>
    </row>
    <row r="23" spans="1:8">
      <c r="A23" s="5" t="s">
        <v>111</v>
      </c>
      <c r="B23" s="1"/>
      <c r="C23" s="1"/>
      <c r="D23" s="1"/>
      <c r="E23" s="1"/>
      <c r="F23" s="1"/>
      <c r="G23" s="1"/>
      <c r="H23" s="1"/>
    </row>
    <row r="24" spans="1:8">
      <c r="A24" s="5" t="s">
        <v>112</v>
      </c>
      <c r="B24" s="1"/>
      <c r="C24" s="1"/>
      <c r="D24" s="1"/>
      <c r="E24" s="1"/>
      <c r="F24" s="1"/>
      <c r="G24" s="1"/>
      <c r="H24" s="1"/>
    </row>
    <row r="25" spans="1:8">
      <c r="A25" s="5" t="s">
        <v>113</v>
      </c>
      <c r="B25" s="1"/>
      <c r="C25" s="1"/>
      <c r="D25" s="1"/>
      <c r="E25" s="1"/>
      <c r="F25" s="1"/>
      <c r="G25" s="1"/>
      <c r="H25" s="1"/>
    </row>
    <row r="26" spans="1:8">
      <c r="A26" s="5" t="s">
        <v>114</v>
      </c>
      <c r="B26" s="1"/>
      <c r="C26" s="1"/>
      <c r="D26" s="1"/>
      <c r="E26" s="1"/>
      <c r="F26" s="1"/>
      <c r="G26" s="1"/>
      <c r="H26" s="1"/>
    </row>
    <row r="27" spans="1:8">
      <c r="A27" s="5"/>
      <c r="B27" s="1"/>
      <c r="C27" s="1"/>
      <c r="D27" s="1"/>
      <c r="E27" s="1"/>
      <c r="F27" s="1"/>
      <c r="G27" s="1"/>
      <c r="H27" s="1"/>
    </row>
    <row r="28" spans="1:8">
      <c r="A28" s="4" t="s">
        <v>70</v>
      </c>
      <c r="B28" s="1"/>
      <c r="C28" s="1"/>
      <c r="D28" s="1"/>
      <c r="E28" s="1"/>
      <c r="F28" s="1"/>
      <c r="G28" s="1"/>
      <c r="H28" s="1"/>
    </row>
    <row r="29" spans="1:8">
      <c r="A29" s="5" t="s">
        <v>115</v>
      </c>
      <c r="B29" s="1"/>
      <c r="C29" s="1"/>
      <c r="D29" s="1"/>
      <c r="E29" s="1"/>
      <c r="F29" s="1"/>
      <c r="G29" s="1"/>
      <c r="H29" s="1"/>
    </row>
    <row r="30" spans="1:8">
      <c r="A30" s="19" t="s">
        <v>116</v>
      </c>
      <c r="B30" s="1"/>
      <c r="C30" s="1"/>
      <c r="D30" s="1"/>
      <c r="E30" s="1"/>
      <c r="F30" s="1"/>
      <c r="G30" s="1"/>
      <c r="H30" s="1"/>
    </row>
    <row r="31" spans="1:8">
      <c r="A31" s="5" t="s">
        <v>117</v>
      </c>
      <c r="B31" s="1"/>
      <c r="C31" s="1"/>
      <c r="D31" s="1"/>
      <c r="E31" s="1"/>
      <c r="F31" s="1"/>
      <c r="G31" s="1"/>
      <c r="H31" s="1"/>
    </row>
    <row r="32" spans="1:8">
      <c r="A32" s="19" t="s">
        <v>118</v>
      </c>
      <c r="B32" s="1"/>
      <c r="C32" s="1"/>
      <c r="D32" s="1"/>
      <c r="E32" s="1"/>
      <c r="F32" s="1"/>
      <c r="G32" s="1"/>
      <c r="H32" s="1"/>
    </row>
    <row r="33" spans="1:8">
      <c r="A33" s="5" t="s">
        <v>119</v>
      </c>
      <c r="B33" s="1"/>
      <c r="C33" s="1"/>
      <c r="D33" s="1"/>
      <c r="E33" s="1"/>
      <c r="F33" s="1"/>
      <c r="G33" s="1"/>
      <c r="H33" s="1"/>
    </row>
    <row r="34" spans="1:8">
      <c r="A34" s="5"/>
      <c r="B34" s="1"/>
      <c r="C34" s="1"/>
      <c r="D34" s="1"/>
      <c r="E34" s="1"/>
      <c r="F34" s="1"/>
      <c r="G34" s="1"/>
      <c r="H34" s="1"/>
    </row>
    <row r="35" spans="1:8">
      <c r="A35" s="4" t="s">
        <v>120</v>
      </c>
      <c r="B35" s="1"/>
      <c r="C35" s="1"/>
      <c r="D35" s="1"/>
      <c r="E35" s="1"/>
      <c r="F35" s="1"/>
      <c r="G35" s="1"/>
      <c r="H35" s="1"/>
    </row>
    <row r="36" spans="1:8">
      <c r="A36" s="5" t="s">
        <v>121</v>
      </c>
      <c r="B36" s="1"/>
      <c r="C36" s="1"/>
      <c r="D36" s="1"/>
      <c r="E36" s="1"/>
      <c r="F36" s="1"/>
      <c r="G36" s="1"/>
      <c r="H36" s="1"/>
    </row>
    <row r="37" spans="1:8">
      <c r="A37" s="5" t="s">
        <v>122</v>
      </c>
      <c r="B37" s="1"/>
      <c r="C37" s="1"/>
      <c r="D37" s="1"/>
      <c r="E37" s="1"/>
      <c r="F37" s="1"/>
      <c r="G37" s="1"/>
      <c r="H37" s="1"/>
    </row>
    <row r="38" spans="1:8">
      <c r="A38" s="5" t="s">
        <v>123</v>
      </c>
      <c r="B38" s="1"/>
      <c r="C38" s="1"/>
      <c r="D38" s="1"/>
      <c r="E38" s="1"/>
      <c r="F38" s="1"/>
      <c r="G38" s="1"/>
      <c r="H38" s="1"/>
    </row>
    <row r="39" spans="1:8">
      <c r="A39" s="5" t="s">
        <v>124</v>
      </c>
      <c r="B39" s="1"/>
      <c r="C39" s="1"/>
      <c r="D39" s="1"/>
      <c r="E39" s="1"/>
      <c r="F39" s="1"/>
      <c r="G39" s="1"/>
      <c r="H39" s="1"/>
    </row>
    <row r="40" spans="1:8">
      <c r="A40" s="5" t="s">
        <v>125</v>
      </c>
      <c r="B40" s="1"/>
      <c r="C40" s="1"/>
      <c r="D40" s="1"/>
      <c r="E40" s="1"/>
      <c r="F40" s="1"/>
      <c r="G40" s="1"/>
      <c r="H40" s="1"/>
    </row>
    <row r="41" spans="1:8">
      <c r="A41" s="5" t="s">
        <v>126</v>
      </c>
      <c r="B41" s="1"/>
      <c r="C41" s="1"/>
      <c r="D41" s="1"/>
      <c r="E41" s="1"/>
      <c r="F41" s="1"/>
      <c r="G41" s="1"/>
      <c r="H41" s="1"/>
    </row>
    <row r="42" spans="1:8">
      <c r="A42" s="5" t="s">
        <v>127</v>
      </c>
      <c r="B42" s="1"/>
      <c r="C42" s="1"/>
      <c r="D42" s="1"/>
      <c r="E42" s="1"/>
      <c r="F42" s="1"/>
      <c r="G42" s="1"/>
      <c r="H42" s="1"/>
    </row>
    <row r="43" spans="1:8">
      <c r="A43" s="5"/>
      <c r="B43" s="1"/>
      <c r="C43" s="1"/>
      <c r="D43" s="1"/>
      <c r="E43" s="1"/>
      <c r="F43" s="1"/>
      <c r="G43" s="1"/>
      <c r="H43" s="1"/>
    </row>
    <row r="44" spans="1:8">
      <c r="A44" s="5"/>
      <c r="B44" s="1"/>
      <c r="C44" s="1"/>
      <c r="D44" s="1"/>
      <c r="E44" s="1"/>
      <c r="F44" s="1"/>
      <c r="G44" s="1"/>
      <c r="H44" s="1"/>
    </row>
    <row r="45" spans="1:8">
      <c r="A45" s="20" t="s">
        <v>24</v>
      </c>
      <c r="B45" s="1"/>
      <c r="C45" s="1"/>
      <c r="D45" s="1"/>
      <c r="E45" s="1"/>
      <c r="F45" s="1"/>
      <c r="G45" s="1"/>
      <c r="H45" s="1"/>
    </row>
    <row r="46" spans="1:8">
      <c r="A46" s="21" t="s">
        <v>27</v>
      </c>
      <c r="B46" s="41"/>
      <c r="C46" s="41"/>
      <c r="D46" s="41"/>
      <c r="E46" s="41"/>
      <c r="F46" s="41"/>
      <c r="G46" s="41"/>
      <c r="H46" s="41"/>
    </row>
    <row r="47" spans="1:8">
      <c r="A47" s="21" t="s">
        <v>29</v>
      </c>
      <c r="B47" s="41"/>
      <c r="C47" s="41"/>
      <c r="D47" s="41"/>
      <c r="E47" s="41"/>
      <c r="F47" s="41"/>
      <c r="G47" s="41"/>
      <c r="H47" s="41"/>
    </row>
    <row r="48" spans="1:8">
      <c r="A48" s="21" t="s">
        <v>31</v>
      </c>
      <c r="B48" s="41"/>
      <c r="C48" s="41"/>
      <c r="D48" s="41"/>
      <c r="E48" s="41"/>
      <c r="F48" s="41"/>
      <c r="G48" s="41"/>
      <c r="H48" s="41"/>
    </row>
    <row r="50" spans="1:1">
      <c r="A50" s="20" t="s">
        <v>128</v>
      </c>
    </row>
    <row r="51" spans="1:1">
      <c r="A51" s="21" t="s">
        <v>129</v>
      </c>
    </row>
    <row r="52" spans="1:1">
      <c r="A52" s="21" t="s">
        <v>39</v>
      </c>
    </row>
    <row r="53" spans="1:1">
      <c r="A53" s="21" t="s">
        <v>43</v>
      </c>
    </row>
    <row r="54" spans="1:1">
      <c r="A54" s="21" t="s">
        <v>44</v>
      </c>
    </row>
    <row r="56" spans="1:1">
      <c r="A56" s="20" t="s">
        <v>52</v>
      </c>
    </row>
    <row r="57" spans="1:1">
      <c r="A57" s="19" t="s">
        <v>54</v>
      </c>
    </row>
    <row r="58" spans="1:1">
      <c r="A58" s="21" t="s">
        <v>130</v>
      </c>
    </row>
    <row r="59" spans="1:1">
      <c r="A59" s="21" t="s">
        <v>131</v>
      </c>
    </row>
    <row r="60" spans="1:1">
      <c r="A60" s="21" t="s">
        <v>132</v>
      </c>
    </row>
    <row r="61" spans="1:1">
      <c r="A61" s="21" t="s">
        <v>133</v>
      </c>
    </row>
    <row r="62" spans="1:1">
      <c r="A62" s="21" t="s">
        <v>62</v>
      </c>
    </row>
    <row r="63" spans="1:1">
      <c r="A63" s="21" t="s">
        <v>134</v>
      </c>
    </row>
    <row r="64" spans="1:1">
      <c r="A64" s="21" t="s">
        <v>135</v>
      </c>
    </row>
    <row r="65" spans="1:1">
      <c r="A65" s="21" t="s">
        <v>136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915093A60346458D3E5891F42C67E3" ma:contentTypeVersion="4" ma:contentTypeDescription="Create a new document." ma:contentTypeScope="" ma:versionID="cd33f0c144ec1e5830cf7a659a414352">
  <xsd:schema xmlns:xsd="http://www.w3.org/2001/XMLSchema" xmlns:xs="http://www.w3.org/2001/XMLSchema" xmlns:p="http://schemas.microsoft.com/office/2006/metadata/properties" xmlns:ns2="4761da96-199c-4abc-88e7-ee2ba8670048" targetNamespace="http://schemas.microsoft.com/office/2006/metadata/properties" ma:root="true" ma:fieldsID="76aea3623b75bc2ca1ac51ed1863ed4e" ns2:_="">
    <xsd:import namespace="4761da96-199c-4abc-88e7-ee2ba8670048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1da96-199c-4abc-88e7-ee2ba86700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B8D75-E9AE-4BA5-B94F-2480089DE6FF}"/>
</file>

<file path=customXml/itemProps2.xml><?xml version="1.0" encoding="utf-8"?>
<ds:datastoreItem xmlns:ds="http://schemas.openxmlformats.org/officeDocument/2006/customXml" ds:itemID="{C98C46B7-365E-4BF2-9A66-717E5CC53B4F}"/>
</file>

<file path=customXml/itemProps3.xml><?xml version="1.0" encoding="utf-8"?>
<ds:datastoreItem xmlns:ds="http://schemas.openxmlformats.org/officeDocument/2006/customXml" ds:itemID="{A95FFF2D-235C-4D16-ABF3-1C3ED820D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Koshevoy</dc:creator>
  <cp:keywords/>
  <dc:description/>
  <cp:lastModifiedBy>Maksim Kopnov</cp:lastModifiedBy>
  <cp:revision/>
  <dcterms:created xsi:type="dcterms:W3CDTF">2016-02-09T10:45:28Z</dcterms:created>
  <dcterms:modified xsi:type="dcterms:W3CDTF">2017-05-26T06:48:50Z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0x010100C4915093A60346458D3E5891F42C67E3</vt:lpwstr>
  </property>
</Properties>
</file>